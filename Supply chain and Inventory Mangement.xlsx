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TA UMER\Desktop\"/>
    </mc:Choice>
  </mc:AlternateContent>
  <xr:revisionPtr revIDLastSave="0" documentId="13_ncr:1_{E2F37122-B090-4E23-842F-0C2E3A13DF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LP(Ending Inventory)" sheetId="3" r:id="rId1"/>
  </sheets>
  <definedNames>
    <definedName name="solver_adj" localSheetId="0" hidden="1">'MILP(Ending Inventory)'!$B$8:$M$8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'MILP(Ending Inventory)'!$B$10:$M$10</definedName>
    <definedName name="solver_lhs2" localSheetId="0" hidden="1">'MILP(Ending Inventory)'!$B$8:$M$8</definedName>
    <definedName name="solver_lhs3" localSheetId="0" hidden="1">'MILP(Ending Inventory)'!$B$9:$M$9</definedName>
    <definedName name="solver_lhs4" localSheetId="0" hidden="1">'MILP(Ending Inventory)'!$N$5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'MILP(Ending Inventory)'!$B$14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4</definedName>
    <definedName name="solver_rel3" localSheetId="0" hidden="1">3</definedName>
    <definedName name="solver_rel4" localSheetId="0" hidden="1">2</definedName>
    <definedName name="solver_rhs1" localSheetId="0" hidden="1">0</definedName>
    <definedName name="solver_rhs2" localSheetId="0" hidden="1">"integer"</definedName>
    <definedName name="solver_rhs3" localSheetId="0" hidden="1">1</definedName>
    <definedName name="solver_rhs4" localSheetId="0" hidden="1">'MILP(Ending Inventory)'!$N$8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3" l="1"/>
  <c r="C11" i="3"/>
  <c r="D10" i="3"/>
  <c r="D11" i="3"/>
  <c r="E10" i="3"/>
  <c r="E11" i="3"/>
  <c r="F10" i="3"/>
  <c r="F11" i="3"/>
  <c r="G10" i="3"/>
  <c r="G11" i="3"/>
  <c r="H10" i="3"/>
  <c r="H11" i="3"/>
  <c r="I10" i="3"/>
  <c r="I11" i="3"/>
  <c r="J10" i="3"/>
  <c r="J11" i="3"/>
  <c r="K10" i="3"/>
  <c r="K11" i="3"/>
  <c r="L10" i="3"/>
  <c r="L11" i="3"/>
  <c r="M10" i="3"/>
  <c r="M11" i="3"/>
  <c r="B11" i="3"/>
  <c r="B12" i="3"/>
  <c r="C9" i="3"/>
  <c r="C12" i="3"/>
  <c r="D9" i="3"/>
  <c r="D12" i="3"/>
  <c r="E9" i="3"/>
  <c r="E12" i="3"/>
  <c r="F9" i="3"/>
  <c r="F12" i="3"/>
  <c r="G9" i="3"/>
  <c r="G12" i="3"/>
  <c r="H9" i="3"/>
  <c r="H12" i="3"/>
  <c r="I9" i="3"/>
  <c r="I12" i="3"/>
  <c r="J9" i="3"/>
  <c r="J12" i="3"/>
  <c r="K9" i="3"/>
  <c r="K12" i="3"/>
  <c r="L9" i="3"/>
  <c r="L12" i="3"/>
  <c r="M9" i="3"/>
  <c r="M12" i="3"/>
  <c r="B14" i="3"/>
  <c r="N8" i="3"/>
  <c r="B10" i="3"/>
  <c r="N5" i="3"/>
</calcChain>
</file>

<file path=xl/sharedStrings.xml><?xml version="1.0" encoding="utf-8"?>
<sst xmlns="http://schemas.openxmlformats.org/spreadsheetml/2006/main" count="23" uniqueCount="23">
  <si>
    <t>Inventory Level (I_i)</t>
  </si>
  <si>
    <t>Order Quantity (x_i)</t>
  </si>
  <si>
    <t>Total</t>
  </si>
  <si>
    <t>Order Cost</t>
  </si>
  <si>
    <t>Holding    Cost</t>
  </si>
  <si>
    <t>Order/Setup (y_i)</t>
  </si>
  <si>
    <t>Total Cost</t>
  </si>
  <si>
    <t>Contraints</t>
  </si>
  <si>
    <t>l₁₂ = 0</t>
  </si>
  <si>
    <t>Di = integer for i = 1, 2, ..., 12</t>
  </si>
  <si>
    <t>Demand Integer (D)</t>
  </si>
  <si>
    <t>Demand (D)</t>
  </si>
  <si>
    <t>EOY Inventory (I)</t>
  </si>
  <si>
    <t>Non-negative (l)</t>
  </si>
  <si>
    <t>l ≥ 0, for i = 1,2,…, 12</t>
  </si>
  <si>
    <t>Given that:</t>
  </si>
  <si>
    <t>Demand</t>
  </si>
  <si>
    <t>Months</t>
  </si>
  <si>
    <t>Ordering Cost</t>
  </si>
  <si>
    <t>Holding cost</t>
  </si>
  <si>
    <t>Objective fuction:</t>
  </si>
  <si>
    <t>(504y_i + 3/12I_i) for i in {1,2,...,12}</t>
  </si>
  <si>
    <t>xᵢ ≤ Dᵢ for i = 1, 2, ...,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</si>
</sst>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DC5D-8846-4BFD-AE03-200B5DB4988D}">
  <dimension ref="A1:N21"/>
  <sheetViews>
    <sheetView tabSelected="1" workbookViewId="0">
      <selection activeCell="N8" sqref="N8"/>
    </sheetView>
  </sheetViews>
  <sheetFormatPr defaultRowHeight="15" x14ac:dyDescent="0.25"/>
  <cols>
    <col min="1" max="1" width="19" bestFit="1" customWidth="1"/>
  </cols>
  <sheetData>
    <row r="1" spans="1:14" x14ac:dyDescent="0.25">
      <c r="A1" s="1" t="s">
        <v>15</v>
      </c>
    </row>
    <row r="3" spans="1:14" ht="15.75" thickBot="1" x14ac:dyDescent="0.3"/>
    <row r="4" spans="1:14" x14ac:dyDescent="0.25">
      <c r="A4" s="2" t="s">
        <v>17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4" t="s">
        <v>2</v>
      </c>
    </row>
    <row r="5" spans="1:14" x14ac:dyDescent="0.25">
      <c r="A5" s="5" t="s">
        <v>16</v>
      </c>
      <c r="B5">
        <v>300</v>
      </c>
      <c r="C5">
        <v>700</v>
      </c>
      <c r="D5">
        <v>800</v>
      </c>
      <c r="E5">
        <v>900</v>
      </c>
      <c r="F5">
        <v>3300</v>
      </c>
      <c r="G5">
        <v>200</v>
      </c>
      <c r="H5">
        <v>600</v>
      </c>
      <c r="I5">
        <v>900</v>
      </c>
      <c r="J5">
        <v>200</v>
      </c>
      <c r="K5">
        <v>300</v>
      </c>
      <c r="L5">
        <v>1000</v>
      </c>
      <c r="M5">
        <v>800</v>
      </c>
      <c r="N5" s="6">
        <f>SUM(B5:M5)</f>
        <v>10000</v>
      </c>
    </row>
    <row r="6" spans="1:14" x14ac:dyDescent="0.25">
      <c r="A6" s="5" t="s">
        <v>18</v>
      </c>
      <c r="B6">
        <v>504</v>
      </c>
      <c r="N6" s="6"/>
    </row>
    <row r="7" spans="1:14" ht="15.75" thickBot="1" x14ac:dyDescent="0.3">
      <c r="A7" s="7" t="s">
        <v>19</v>
      </c>
      <c r="B7" s="8">
        <v>0.25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/>
    </row>
    <row r="8" spans="1:14" x14ac:dyDescent="0.25">
      <c r="A8" s="2" t="s">
        <v>1</v>
      </c>
      <c r="B8" s="3">
        <v>1428</v>
      </c>
      <c r="C8" s="3">
        <v>1428</v>
      </c>
      <c r="D8" s="3">
        <v>1298</v>
      </c>
      <c r="E8" s="3">
        <v>1169</v>
      </c>
      <c r="F8" s="3">
        <v>1039</v>
      </c>
      <c r="G8" s="3">
        <v>909</v>
      </c>
      <c r="H8" s="3">
        <v>779</v>
      </c>
      <c r="I8" s="3">
        <v>649</v>
      </c>
      <c r="J8" s="3">
        <v>520</v>
      </c>
      <c r="K8" s="3">
        <v>390</v>
      </c>
      <c r="L8" s="3">
        <v>260</v>
      </c>
      <c r="M8" s="3">
        <v>131</v>
      </c>
      <c r="N8" s="4">
        <f>SUM(B8:M8)</f>
        <v>10000</v>
      </c>
    </row>
    <row r="9" spans="1:14" x14ac:dyDescent="0.25">
      <c r="A9" s="5" t="s">
        <v>5</v>
      </c>
      <c r="B9">
        <v>0</v>
      </c>
      <c r="C9">
        <f t="shared" ref="C9:M9" si="0">IF(C8&gt;0,1,0)</f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 s="6"/>
    </row>
    <row r="10" spans="1:14" x14ac:dyDescent="0.25">
      <c r="A10" s="5" t="s">
        <v>0</v>
      </c>
      <c r="B10">
        <f>B5</f>
        <v>300</v>
      </c>
      <c r="C10">
        <f>B10+B8-B5</f>
        <v>1428</v>
      </c>
      <c r="D10">
        <f t="shared" ref="D10:M10" si="1">C10+C8-C5</f>
        <v>2156</v>
      </c>
      <c r="E10">
        <f t="shared" si="1"/>
        <v>2654</v>
      </c>
      <c r="F10">
        <f t="shared" si="1"/>
        <v>2923</v>
      </c>
      <c r="G10">
        <f t="shared" si="1"/>
        <v>662</v>
      </c>
      <c r="H10">
        <f t="shared" si="1"/>
        <v>1371</v>
      </c>
      <c r="I10">
        <f t="shared" si="1"/>
        <v>1550</v>
      </c>
      <c r="J10">
        <f t="shared" si="1"/>
        <v>1299</v>
      </c>
      <c r="K10">
        <f t="shared" si="1"/>
        <v>1619</v>
      </c>
      <c r="L10">
        <f t="shared" si="1"/>
        <v>1709</v>
      </c>
      <c r="M10">
        <f t="shared" si="1"/>
        <v>969</v>
      </c>
      <c r="N10" s="6"/>
    </row>
    <row r="11" spans="1:14" x14ac:dyDescent="0.25">
      <c r="A11" s="5" t="s">
        <v>4</v>
      </c>
      <c r="B11">
        <f>$B$7*B10</f>
        <v>75</v>
      </c>
      <c r="C11">
        <f t="shared" ref="C11:M11" si="2">$B$7*C10</f>
        <v>357</v>
      </c>
      <c r="D11">
        <f t="shared" si="2"/>
        <v>539</v>
      </c>
      <c r="E11">
        <f t="shared" si="2"/>
        <v>663.5</v>
      </c>
      <c r="F11">
        <f t="shared" si="2"/>
        <v>730.75</v>
      </c>
      <c r="G11">
        <f t="shared" si="2"/>
        <v>165.5</v>
      </c>
      <c r="H11">
        <f t="shared" si="2"/>
        <v>342.75</v>
      </c>
      <c r="I11">
        <f t="shared" si="2"/>
        <v>387.5</v>
      </c>
      <c r="J11">
        <f t="shared" si="2"/>
        <v>324.75</v>
      </c>
      <c r="K11">
        <f t="shared" si="2"/>
        <v>404.75</v>
      </c>
      <c r="L11">
        <f t="shared" si="2"/>
        <v>427.25</v>
      </c>
      <c r="M11">
        <f t="shared" si="2"/>
        <v>242.25</v>
      </c>
      <c r="N11" s="6"/>
    </row>
    <row r="12" spans="1:14" ht="15.75" thickBot="1" x14ac:dyDescent="0.3">
      <c r="A12" s="7" t="s">
        <v>3</v>
      </c>
      <c r="B12" s="8">
        <f>$B$6*B9</f>
        <v>0</v>
      </c>
      <c r="C12" s="8">
        <f t="shared" ref="C12:M12" si="3">$B$6*C9</f>
        <v>504</v>
      </c>
      <c r="D12" s="8">
        <f t="shared" si="3"/>
        <v>504</v>
      </c>
      <c r="E12" s="8">
        <f t="shared" si="3"/>
        <v>504</v>
      </c>
      <c r="F12" s="8">
        <f t="shared" si="3"/>
        <v>504</v>
      </c>
      <c r="G12" s="8">
        <f t="shared" si="3"/>
        <v>504</v>
      </c>
      <c r="H12" s="8">
        <f t="shared" si="3"/>
        <v>504</v>
      </c>
      <c r="I12" s="8">
        <f t="shared" si="3"/>
        <v>504</v>
      </c>
      <c r="J12" s="8">
        <f t="shared" si="3"/>
        <v>504</v>
      </c>
      <c r="K12" s="8">
        <f t="shared" si="3"/>
        <v>504</v>
      </c>
      <c r="L12" s="8">
        <f t="shared" si="3"/>
        <v>504</v>
      </c>
      <c r="M12" s="8">
        <f t="shared" si="3"/>
        <v>504</v>
      </c>
      <c r="N12" s="9"/>
    </row>
    <row r="13" spans="1:14" ht="15.75" thickBot="1" x14ac:dyDescent="0.3"/>
    <row r="14" spans="1:14" ht="15.75" thickBot="1" x14ac:dyDescent="0.3">
      <c r="A14" s="10" t="s">
        <v>6</v>
      </c>
      <c r="B14" s="11">
        <f>SUM(B11:M12)</f>
        <v>10204</v>
      </c>
    </row>
    <row r="15" spans="1:14" ht="15.75" thickBot="1" x14ac:dyDescent="0.3"/>
    <row r="16" spans="1:14" ht="15.75" thickBot="1" x14ac:dyDescent="0.3">
      <c r="A16" s="10" t="s">
        <v>20</v>
      </c>
      <c r="B16" s="12" t="s">
        <v>21</v>
      </c>
      <c r="C16" s="12"/>
      <c r="D16" s="12"/>
      <c r="E16" s="11"/>
    </row>
    <row r="17" spans="1:5" x14ac:dyDescent="0.25">
      <c r="A17" s="13" t="s">
        <v>7</v>
      </c>
      <c r="B17" s="3"/>
      <c r="C17" s="3"/>
      <c r="D17" s="3"/>
      <c r="E17" s="4"/>
    </row>
    <row r="18" spans="1:5" x14ac:dyDescent="0.25">
      <c r="A18" s="5" t="s">
        <v>10</v>
      </c>
      <c r="B18" t="s">
        <v>9</v>
      </c>
      <c r="E18" s="6"/>
    </row>
    <row r="19" spans="1:5" x14ac:dyDescent="0.25">
      <c r="A19" s="5" t="s">
        <v>11</v>
      </c>
      <c r="B19" t="s">
        <v>22</v>
      </c>
      <c r="E19" s="6"/>
    </row>
    <row r="20" spans="1:5" x14ac:dyDescent="0.25">
      <c r="A20" s="5" t="s">
        <v>13</v>
      </c>
      <c r="B20" t="s">
        <v>14</v>
      </c>
      <c r="E20" s="6"/>
    </row>
    <row r="21" spans="1:5" ht="15.75" thickBot="1" x14ac:dyDescent="0.3">
      <c r="A21" s="7" t="s">
        <v>12</v>
      </c>
      <c r="B21" s="8" t="s">
        <v>8</v>
      </c>
      <c r="C21" s="8"/>
      <c r="D21" s="8"/>
      <c r="E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MILP(Ending Inventory)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Kaneez Fatima</cp:lastModifiedBy>
  <dcterms:created xsi:type="dcterms:W3CDTF">2023-04-02T12:11:01Z</dcterms:created>
  <dcterms:modified xsi:type="dcterms:W3CDTF">2023-04-06T01:29:39Z</dcterms:modified>
</cp:coreProperties>
</file>